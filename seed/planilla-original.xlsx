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<sst xmlns="http://schemas.openxmlformats.org/spreadsheetml/2006/main" count="511" uniqueCount="210">
  <si>
    <t>Titulo</t>
  </si>
  <si>
    <t>Proyecto / Tarea / Negociacion / Inversion / Cliente / Proveedor</t>
  </si>
  <si>
    <t>Monto Tramo1</t>
  </si>
  <si>
    <t>Duracion Tramo 1</t>
  </si>
  <si>
    <t>Monto Tramo 2</t>
  </si>
  <si>
    <t>Duracion Tramo2</t>
  </si>
  <si>
    <t>Descripcion</t>
  </si>
  <si>
    <t>Estadio</t>
  </si>
  <si>
    <t>Empresa/Institucion</t>
  </si>
  <si>
    <t>Contacto</t>
  </si>
  <si>
    <t>Intermediario</t>
  </si>
  <si>
    <t>Apoyo</t>
  </si>
  <si>
    <t>Paso siguiente</t>
  </si>
  <si>
    <t>Responsable</t>
  </si>
  <si>
    <t>Deadline</t>
  </si>
  <si>
    <t>KPIs</t>
  </si>
  <si>
    <t>Dias de atraso</t>
  </si>
  <si>
    <t>Prevision</t>
  </si>
  <si>
    <t>Comentarios</t>
  </si>
  <si>
    <t>Cuenca</t>
  </si>
  <si>
    <t>Cliente</t>
  </si>
  <si>
    <t>1.2 M</t>
  </si>
  <si>
    <t>6 meses</t>
  </si>
  <si>
    <t>12 M</t>
  </si>
  <si>
    <t>18 meses</t>
  </si>
  <si>
    <t>Evaluacion de 10,000 maetros en Cuenca</t>
  </si>
  <si>
    <t>Busqueda de fondeo</t>
  </si>
  <si>
    <t xml:space="preserve">Universidad Cuenca, Ministerio de Educacion, Ministerio de Salud, Ministerio de Infraestructura, Gobernacion de Cuenca, Camara Texana Ecuatoriana, </t>
  </si>
  <si>
    <t>Augusto Cabrera (U. de Cuenca)</t>
  </si>
  <si>
    <t>US Commercial Service</t>
  </si>
  <si>
    <t>Presentacion ante el BID y progrmas de GRANTS</t>
  </si>
  <si>
    <t>Luis, Yasmin, Angeles</t>
  </si>
  <si>
    <t>Canal de Panama</t>
  </si>
  <si>
    <t>1 M</t>
  </si>
  <si>
    <t>2 meses</t>
  </si>
  <si>
    <t>Evaluacion de 10,000 colaboradores</t>
  </si>
  <si>
    <t>Presentacion de propuesta</t>
  </si>
  <si>
    <t>Canal de Panama, Gobierno de Panama</t>
  </si>
  <si>
    <t>Embajada de EEUU en Panama</t>
  </si>
  <si>
    <t>Luis Arreola</t>
  </si>
  <si>
    <t>US Commercial Service. Ciudad del Saber</t>
  </si>
  <si>
    <t>Reunion con Directora del Canal</t>
  </si>
  <si>
    <t>Luis</t>
  </si>
  <si>
    <t>Honeywell</t>
  </si>
  <si>
    <t>Partner</t>
  </si>
  <si>
    <t>No asignado</t>
  </si>
  <si>
    <t>- Alianza estrategica para utilizar datos recolectados por Honeywell para que Wizor los procese y entregue informacion con gran valor agregado.
- Codesarrollo de tecnologia para industrias
- Codesarrollo de tecnologia para consumo</t>
  </si>
  <si>
    <t>Tercer reunion de exploracion de oportunidades</t>
  </si>
  <si>
    <t>Jorge Sobral</t>
  </si>
  <si>
    <t>Enviar draft de primer propuesta. Anunciar alianza en la AOG en Neuquen</t>
  </si>
  <si>
    <t>Martin</t>
  </si>
  <si>
    <t>CNH SSO Argentina</t>
  </si>
  <si>
    <t>12 meses</t>
  </si>
  <si>
    <t>24 meses</t>
  </si>
  <si>
    <t>Evaluacion Wizor app+devices. 550 colaboradores + 100 dvices + Sala de monitoreo</t>
  </si>
  <si>
    <t>PoC</t>
  </si>
  <si>
    <t>CNH</t>
  </si>
  <si>
    <t>Matias Arias</t>
  </si>
  <si>
    <t>Enviar informes y propuesta comercial para servicio mensual para CNH Argentina</t>
  </si>
  <si>
    <t>IT, especialistas, Martin</t>
  </si>
  <si>
    <t>CNH SSO Brasil</t>
  </si>
  <si>
    <t>Evaluacion Wizor app+devices. 8000 colaboradores + 200 dvices + Sala de monitoreo</t>
  </si>
  <si>
    <t>PoC octubre 2026</t>
  </si>
  <si>
    <t>CNH Maquinas</t>
  </si>
  <si>
    <t>Monitoreo de maquinarias agricolas, prevencion y prediccion</t>
  </si>
  <si>
    <t>Presentar proyecto y plan de trabajo</t>
  </si>
  <si>
    <t>NASA digital twins</t>
  </si>
  <si>
    <t>Adquisicion de data y entrenamiento de gemelos digitales para prediccion en mundos simulados. Prediccion de exito de mision</t>
  </si>
  <si>
    <t>Primeras presentaciones</t>
  </si>
  <si>
    <t>NASA</t>
  </si>
  <si>
    <t>Viviana Martin</t>
  </si>
  <si>
    <t>Inscripciones</t>
  </si>
  <si>
    <t>Amy, Martin</t>
  </si>
  <si>
    <t>NASA smart shoe</t>
  </si>
  <si>
    <t>Telemetria para deteccion de fatiga</t>
  </si>
  <si>
    <t>NASA Analog Mission</t>
  </si>
  <si>
    <t>Participacion en misiones analogas con la tecnologia de Wizor</t>
  </si>
  <si>
    <t>Busqueda</t>
  </si>
  <si>
    <t>Lunar Mission New York</t>
  </si>
  <si>
    <t>1.5 M</t>
  </si>
  <si>
    <t>Realizacion del evento interactivo e inmersivo Lunar Mission</t>
  </si>
  <si>
    <t>Pre venta</t>
  </si>
  <si>
    <t>Productora en New York</t>
  </si>
  <si>
    <t>World Trade Center Miami, Camacol, Space Center, US Commercial Service, AIAA, IAC, Gobiernos de Mexico, Gobierno de Puerto Rico, Gobierno de Houston, Gobierno de Miami, Universidad de Miami, Camara Texana Argentina, Camara Texana Mexicana, Camara Texana Ecuatoriana, AmCham, Consulado Argentino en Houston</t>
  </si>
  <si>
    <t>Presentacion formal con nuevo material</t>
  </si>
  <si>
    <t>Yasmin</t>
  </si>
  <si>
    <t>Lunar Mission Chihuahua</t>
  </si>
  <si>
    <t>800 k</t>
  </si>
  <si>
    <t>Gil</t>
  </si>
  <si>
    <t>Lunar Mission Queretaro</t>
  </si>
  <si>
    <t>Adriana?</t>
  </si>
  <si>
    <t>Lunar Mission Miami</t>
  </si>
  <si>
    <t>Lunar Mission Austin</t>
  </si>
  <si>
    <t>Lunar Mission Puerto Rico</t>
  </si>
  <si>
    <t>Ciencia</t>
  </si>
  <si>
    <t>Amy</t>
  </si>
  <si>
    <t>Lunar Mission Colombia</t>
  </si>
  <si>
    <t>Rita</t>
  </si>
  <si>
    <t>Lunar Mission Argentina</t>
  </si>
  <si>
    <t>Lunar Mission Chile</t>
  </si>
  <si>
    <t>Lunar Mission Houston (Estadio)</t>
  </si>
  <si>
    <t>13 meses</t>
  </si>
  <si>
    <t>Lunar Mission Houston (Escuela)</t>
  </si>
  <si>
    <t>14 meses</t>
  </si>
  <si>
    <t>Lunar Mission Houston (Space Center)</t>
  </si>
  <si>
    <t>15 meses</t>
  </si>
  <si>
    <t>Andres</t>
  </si>
  <si>
    <t>Martin, Alejandro</t>
  </si>
  <si>
    <t>Lunar Mission Global</t>
  </si>
  <si>
    <t>Inversion</t>
  </si>
  <si>
    <t>3 M</t>
  </si>
  <si>
    <t>Produccion del evento itinerante</t>
  </si>
  <si>
    <t>Finalizacion del proyecto</t>
  </si>
  <si>
    <t>Wizor Space</t>
  </si>
  <si>
    <t>Armado de piezas finales para buscar auspiciantes</t>
  </si>
  <si>
    <t>Alejandro</t>
  </si>
  <si>
    <t>Abbott</t>
  </si>
  <si>
    <t>Evaluacion Wizor app. En segundo tramo venta de 1000 devices</t>
  </si>
  <si>
    <t>Presupuesto</t>
  </si>
  <si>
    <t>Esteban, Martin</t>
  </si>
  <si>
    <t>CODELCO (Chile)</t>
  </si>
  <si>
    <t>Evaluacion Wizor app+devices. 16000 colaboradores + 1000 dvices + Sala de monitoreo</t>
  </si>
  <si>
    <t>Primera presentacion</t>
  </si>
  <si>
    <t>CODELCO</t>
  </si>
  <si>
    <t>Propuesta de PoC</t>
  </si>
  <si>
    <t>Petrobras (Brasil)</t>
  </si>
  <si>
    <t>Petrobras</t>
  </si>
  <si>
    <t>Reinhaldo</t>
  </si>
  <si>
    <t>Agenda de la PoC</t>
  </si>
  <si>
    <t>LatamToTulsa</t>
  </si>
  <si>
    <t>3 meses</t>
  </si>
  <si>
    <t>1M</t>
  </si>
  <si>
    <t>Programa de Softlanding y fondeo por parte de George Kaiser Family Foundation</t>
  </si>
  <si>
    <t>Due Diligence</t>
  </si>
  <si>
    <t>Marcos Bazzana</t>
  </si>
  <si>
    <t>Consulado Argentino de Houston</t>
  </si>
  <si>
    <t>Enviar documentacion</t>
  </si>
  <si>
    <t>Oklahoma Dto de Defensa</t>
  </si>
  <si>
    <t>500k</t>
  </si>
  <si>
    <t>5M</t>
  </si>
  <si>
    <t>I+D y despliegue de app y devices</t>
  </si>
  <si>
    <t>LatamtoTulsa</t>
  </si>
  <si>
    <t>Enviar presentacion y coordinar nueva reunion</t>
  </si>
  <si>
    <t>Oklahoma Dto Aerospace</t>
  </si>
  <si>
    <t>YPF (Argentina)</t>
  </si>
  <si>
    <t>Alejandro Wyss</t>
  </si>
  <si>
    <t>Segunda reunion</t>
  </si>
  <si>
    <t>Metrogas (Argentina)</t>
  </si>
  <si>
    <t>Evaluacion Wizor app. En segundo tramo venta de 100 devices</t>
  </si>
  <si>
    <t>Primer contacto</t>
  </si>
  <si>
    <t>Fernando Iuliano</t>
  </si>
  <si>
    <t>Radicacion en Houston</t>
  </si>
  <si>
    <t>inversion 300k</t>
  </si>
  <si>
    <t>Mudanza del CEO, Exploracion de lugares para instalaciones, Green Card</t>
  </si>
  <si>
    <t>Relevamiento y presupuestos</t>
  </si>
  <si>
    <t>Geler</t>
  </si>
  <si>
    <t>Us Commercial Service, NASA, Blue Origin, World Trade Center, Space Center</t>
  </si>
  <si>
    <t>Fondos para tramites migratorios, recolectar evidencia y apoyo</t>
  </si>
  <si>
    <t>Islas Virgenes</t>
  </si>
  <si>
    <t>Observatorio Laboral, evaluacion de toda la masa laboral (tipo censo)</t>
  </si>
  <si>
    <t>Seguimiento luego de la presentacion</t>
  </si>
  <si>
    <t>Samuel</t>
  </si>
  <si>
    <t>Us Commercial Service</t>
  </si>
  <si>
    <t>Zepelin (Maqueta mini)</t>
  </si>
  <si>
    <t>Proyecto</t>
  </si>
  <si>
    <t>2k</t>
  </si>
  <si>
    <t>10k</t>
  </si>
  <si>
    <t>Armado de maqueta autonoma de 1 metro. En segundo tramo armado de maqueta de 5 metros</t>
  </si>
  <si>
    <t>Pre proyecto</t>
  </si>
  <si>
    <t>UBA</t>
  </si>
  <si>
    <t>Pablo Decristoforis</t>
  </si>
  <si>
    <t>Recibir cotizacion</t>
  </si>
  <si>
    <t>Lean</t>
  </si>
  <si>
    <t>Chihuahua Empresas</t>
  </si>
  <si>
    <t>Evaluacion Wizor app. En segundo tramo venta de devices</t>
  </si>
  <si>
    <t>Acuerdo comercial</t>
  </si>
  <si>
    <t>Chihuahua Industria</t>
  </si>
  <si>
    <t>Brasil Educacion</t>
  </si>
  <si>
    <t>I+D y despliegue de desarrollo customizado sobre metodologia Wizor</t>
  </si>
  <si>
    <t>Evaluacion de los requisitos y postulacion</t>
  </si>
  <si>
    <t>Postulacion</t>
  </si>
  <si>
    <t>Brasil Gobierno</t>
  </si>
  <si>
    <t>Primeras reuniones</t>
  </si>
  <si>
    <t>Cristiano</t>
  </si>
  <si>
    <t>Reinaldo</t>
  </si>
  <si>
    <t>Vale (Brasil)</t>
  </si>
  <si>
    <t>Gemstone</t>
  </si>
  <si>
    <t>Aspika</t>
  </si>
  <si>
    <t>Cliente / Partner</t>
  </si>
  <si>
    <t>Alianza, venta de devices, servicio de evaluacion de hogares de neurodiversos, certificacion de lugares sensorialmente aptos (escuelas, restaurantes y lugares de trabajo)</t>
  </si>
  <si>
    <t>Segunda presentacion</t>
  </si>
  <si>
    <t>Presentacion de proyecto</t>
  </si>
  <si>
    <t>SAM.gov</t>
  </si>
  <si>
    <t>Proveedor</t>
  </si>
  <si>
    <t>10M</t>
  </si>
  <si>
    <t>Solicitud de Grants</t>
  </si>
  <si>
    <t>Inscripcion en el sistema</t>
  </si>
  <si>
    <t>Terminar inscripcion y aplicar</t>
  </si>
  <si>
    <t>Rincon Norteño</t>
  </si>
  <si>
    <t>Evaluacion Wizor app. En segundo tramo venta de 5 devices</t>
  </si>
  <si>
    <t>Despliegue</t>
  </si>
  <si>
    <t>Ruben</t>
  </si>
  <si>
    <t>Desplegar app</t>
  </si>
  <si>
    <t>Mon Poulet</t>
  </si>
  <si>
    <t>Sebastian</t>
  </si>
  <si>
    <t>Space X</t>
  </si>
  <si>
    <t>Luis, Amy</t>
  </si>
  <si>
    <t>Blue Origin</t>
  </si>
  <si>
    <t>AIAA</t>
  </si>
  <si>
    <t>Axiom Space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</si>
</sst>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75"/>
    <col customWidth="1" min="2" max="9" width="1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t="s">
        <v>26</v>
      </c>
      <c r="I2" s="2" t="s">
        <v>27</v>
      </c>
      <c r="K2" s="2" t="s">
        <v>28</v>
      </c>
      <c r="L2" s="2" t="s">
        <v>29</v>
      </c>
      <c r="M2" s="2" t="s">
        <v>30</v>
      </c>
      <c r="N2" s="2" t="s">
        <v>31</v>
      </c>
      <c r="O2" s="3">
        <v>46295.0</v>
      </c>
    </row>
    <row r="3">
      <c r="A3" s="2" t="s">
        <v>32</v>
      </c>
      <c r="B3" s="2" t="s">
        <v>20</v>
      </c>
      <c r="C3" s="2" t="s">
        <v>33</v>
      </c>
      <c r="D3" s="2" t="s">
        <v>34</v>
      </c>
      <c r="G3" s="2" t="s">
        <v>35</v>
      </c>
      <c r="H3" s="2" t="s">
        <v>36</v>
      </c>
      <c r="I3" s="2" t="s">
        <v>37</v>
      </c>
      <c r="J3" s="2" t="s">
        <v>38</v>
      </c>
      <c r="K3" s="2" t="s">
        <v>39</v>
      </c>
      <c r="L3" s="2" t="s">
        <v>40</v>
      </c>
      <c r="M3" s="2" t="s">
        <v>41</v>
      </c>
      <c r="N3" s="2" t="s">
        <v>42</v>
      </c>
      <c r="O3" s="3">
        <v>46295.0</v>
      </c>
      <c r="P3" s="3"/>
    </row>
    <row r="4">
      <c r="A4" s="2" t="s">
        <v>43</v>
      </c>
      <c r="B4" s="2" t="s">
        <v>44</v>
      </c>
      <c r="C4" s="2" t="s">
        <v>45</v>
      </c>
      <c r="D4" s="2" t="s">
        <v>45</v>
      </c>
      <c r="E4" s="2" t="s">
        <v>45</v>
      </c>
      <c r="F4" s="2" t="s">
        <v>45</v>
      </c>
      <c r="G4" s="2" t="s">
        <v>46</v>
      </c>
      <c r="H4" s="2" t="s">
        <v>47</v>
      </c>
      <c r="I4" s="2" t="s">
        <v>43</v>
      </c>
      <c r="J4" s="2" t="s">
        <v>48</v>
      </c>
      <c r="M4" s="2" t="s">
        <v>49</v>
      </c>
      <c r="N4" s="2" t="s">
        <v>50</v>
      </c>
      <c r="O4" s="3">
        <v>46295.0</v>
      </c>
    </row>
    <row r="5">
      <c r="A5" s="2" t="s">
        <v>51</v>
      </c>
      <c r="B5" s="2" t="s">
        <v>20</v>
      </c>
      <c r="C5" s="2">
        <f>700*6*12+100*900+8*600+25000</f>
        <v>170200</v>
      </c>
      <c r="D5" s="2" t="s">
        <v>52</v>
      </c>
      <c r="E5" s="2">
        <v>400000.0</v>
      </c>
      <c r="F5" s="2" t="s">
        <v>53</v>
      </c>
      <c r="G5" s="2" t="s">
        <v>54</v>
      </c>
      <c r="H5" s="2" t="s">
        <v>55</v>
      </c>
      <c r="I5" s="2" t="s">
        <v>56</v>
      </c>
      <c r="J5" s="2" t="s">
        <v>57</v>
      </c>
      <c r="M5" s="2" t="s">
        <v>58</v>
      </c>
      <c r="N5" s="2" t="s">
        <v>59</v>
      </c>
      <c r="O5" s="3">
        <v>46290.0</v>
      </c>
    </row>
    <row r="6">
      <c r="A6" s="2" t="s">
        <v>60</v>
      </c>
      <c r="B6" s="2" t="s">
        <v>20</v>
      </c>
      <c r="C6" s="2">
        <f>8000*5*12+100*900+8*600+25000</f>
        <v>599800</v>
      </c>
      <c r="D6" s="2" t="s">
        <v>52</v>
      </c>
      <c r="E6" s="2">
        <v>1800000.0</v>
      </c>
      <c r="F6" s="2" t="s">
        <v>53</v>
      </c>
      <c r="G6" s="2" t="s">
        <v>61</v>
      </c>
      <c r="I6" s="2" t="s">
        <v>56</v>
      </c>
      <c r="J6" s="2" t="s">
        <v>57</v>
      </c>
      <c r="M6" s="2" t="s">
        <v>62</v>
      </c>
      <c r="N6" s="2" t="s">
        <v>50</v>
      </c>
      <c r="O6" s="3">
        <v>46325.0</v>
      </c>
    </row>
    <row r="7">
      <c r="A7" s="2" t="s">
        <v>63</v>
      </c>
      <c r="B7" s="2" t="s">
        <v>20</v>
      </c>
      <c r="C7" s="2">
        <f>4*3500*6+5000*6+75000</f>
        <v>189000</v>
      </c>
      <c r="D7" s="2" t="s">
        <v>22</v>
      </c>
      <c r="E7" s="2">
        <f>4*3500*12+10000*12+20*10000+35000</f>
        <v>523000</v>
      </c>
      <c r="F7" s="2" t="s">
        <v>52</v>
      </c>
      <c r="G7" s="2" t="s">
        <v>64</v>
      </c>
      <c r="J7" s="2" t="s">
        <v>57</v>
      </c>
      <c r="M7" s="2" t="s">
        <v>65</v>
      </c>
      <c r="O7" s="3">
        <v>46295.0</v>
      </c>
    </row>
    <row r="8">
      <c r="A8" s="2" t="s">
        <v>66</v>
      </c>
      <c r="B8" s="2" t="s">
        <v>20</v>
      </c>
      <c r="C8" s="2" t="s">
        <v>45</v>
      </c>
      <c r="D8" s="2" t="s">
        <v>45</v>
      </c>
      <c r="E8" s="2" t="s">
        <v>45</v>
      </c>
      <c r="F8" s="2" t="s">
        <v>45</v>
      </c>
      <c r="G8" s="2" t="s">
        <v>67</v>
      </c>
      <c r="H8" s="2" t="s">
        <v>68</v>
      </c>
      <c r="I8" s="2" t="s">
        <v>69</v>
      </c>
      <c r="J8" s="2" t="s">
        <v>70</v>
      </c>
      <c r="L8" s="2" t="s">
        <v>40</v>
      </c>
      <c r="M8" s="2" t="s">
        <v>71</v>
      </c>
      <c r="N8" s="2" t="s">
        <v>72</v>
      </c>
      <c r="O8" s="3">
        <v>46295.0</v>
      </c>
    </row>
    <row r="9">
      <c r="A9" s="2" t="s">
        <v>73</v>
      </c>
      <c r="B9" s="2" t="s">
        <v>20</v>
      </c>
      <c r="C9" s="2" t="s">
        <v>45</v>
      </c>
      <c r="D9" s="2" t="s">
        <v>45</v>
      </c>
      <c r="E9" s="2" t="s">
        <v>45</v>
      </c>
      <c r="F9" s="2" t="s">
        <v>45</v>
      </c>
      <c r="G9" s="2" t="s">
        <v>74</v>
      </c>
      <c r="H9" s="2" t="s">
        <v>68</v>
      </c>
      <c r="I9" s="2" t="s">
        <v>69</v>
      </c>
      <c r="J9" s="2" t="s">
        <v>70</v>
      </c>
      <c r="L9" s="2" t="s">
        <v>40</v>
      </c>
      <c r="M9" s="2" t="s">
        <v>71</v>
      </c>
      <c r="N9" s="2" t="s">
        <v>72</v>
      </c>
      <c r="O9" s="3">
        <v>46310.0</v>
      </c>
    </row>
    <row r="10">
      <c r="A10" s="2" t="s">
        <v>75</v>
      </c>
      <c r="B10" s="2" t="s">
        <v>20</v>
      </c>
      <c r="C10" s="2" t="s">
        <v>45</v>
      </c>
      <c r="D10" s="2" t="s">
        <v>45</v>
      </c>
      <c r="E10" s="2" t="s">
        <v>45</v>
      </c>
      <c r="F10" s="2" t="s">
        <v>45</v>
      </c>
      <c r="G10" s="2" t="s">
        <v>76</v>
      </c>
      <c r="H10" s="2" t="s">
        <v>77</v>
      </c>
      <c r="I10" s="2" t="s">
        <v>69</v>
      </c>
      <c r="L10" s="2" t="s">
        <v>40</v>
      </c>
      <c r="M10" s="2" t="s">
        <v>71</v>
      </c>
      <c r="N10" s="2" t="s">
        <v>72</v>
      </c>
      <c r="O10" s="3">
        <v>46325.0</v>
      </c>
    </row>
    <row r="11">
      <c r="A11" s="2" t="s">
        <v>78</v>
      </c>
      <c r="B11" s="2" t="s">
        <v>20</v>
      </c>
      <c r="C11" s="2" t="s">
        <v>79</v>
      </c>
      <c r="D11" s="2" t="s">
        <v>52</v>
      </c>
      <c r="G11" s="2" t="s">
        <v>80</v>
      </c>
      <c r="H11" s="2" t="s">
        <v>81</v>
      </c>
      <c r="I11" s="2" t="s">
        <v>82</v>
      </c>
      <c r="L11" s="2" t="s">
        <v>83</v>
      </c>
      <c r="M11" s="2" t="s">
        <v>84</v>
      </c>
      <c r="N11" s="2" t="s">
        <v>85</v>
      </c>
      <c r="O11" s="3">
        <v>46310.0</v>
      </c>
    </row>
    <row r="12">
      <c r="A12" s="2" t="s">
        <v>86</v>
      </c>
      <c r="B12" s="2" t="s">
        <v>20</v>
      </c>
      <c r="C12" s="2" t="s">
        <v>87</v>
      </c>
      <c r="D12" s="2" t="s">
        <v>52</v>
      </c>
      <c r="G12" s="2" t="s">
        <v>80</v>
      </c>
      <c r="H12" s="2" t="s">
        <v>81</v>
      </c>
      <c r="J12" s="2" t="s">
        <v>88</v>
      </c>
      <c r="L12" s="2" t="s">
        <v>83</v>
      </c>
      <c r="M12" s="2" t="s">
        <v>84</v>
      </c>
      <c r="N12" s="2" t="s">
        <v>85</v>
      </c>
      <c r="O12" s="3">
        <v>46310.0</v>
      </c>
    </row>
    <row r="13">
      <c r="A13" s="2" t="s">
        <v>89</v>
      </c>
      <c r="B13" s="2" t="s">
        <v>20</v>
      </c>
      <c r="C13" s="2" t="s">
        <v>87</v>
      </c>
      <c r="D13" s="2" t="s">
        <v>52</v>
      </c>
      <c r="G13" s="2" t="s">
        <v>80</v>
      </c>
      <c r="H13" s="2" t="s">
        <v>81</v>
      </c>
      <c r="L13" s="2" t="s">
        <v>83</v>
      </c>
      <c r="M13" s="2" t="s">
        <v>84</v>
      </c>
      <c r="N13" s="2" t="s">
        <v>90</v>
      </c>
      <c r="O13" s="3">
        <v>46310.0</v>
      </c>
    </row>
    <row r="14">
      <c r="A14" s="2" t="s">
        <v>91</v>
      </c>
      <c r="B14" s="2" t="s">
        <v>20</v>
      </c>
      <c r="C14" s="2" t="s">
        <v>79</v>
      </c>
      <c r="D14" s="2" t="s">
        <v>52</v>
      </c>
      <c r="G14" s="2" t="s">
        <v>80</v>
      </c>
      <c r="H14" s="2" t="s">
        <v>81</v>
      </c>
      <c r="L14" s="2" t="s">
        <v>83</v>
      </c>
      <c r="M14" s="2" t="s">
        <v>84</v>
      </c>
      <c r="N14" s="2" t="s">
        <v>85</v>
      </c>
      <c r="O14" s="3">
        <v>46310.0</v>
      </c>
    </row>
    <row r="15">
      <c r="A15" s="2" t="s">
        <v>92</v>
      </c>
      <c r="B15" s="2" t="s">
        <v>20</v>
      </c>
      <c r="C15" s="2" t="s">
        <v>79</v>
      </c>
      <c r="D15" s="2" t="s">
        <v>52</v>
      </c>
      <c r="G15" s="2" t="s">
        <v>80</v>
      </c>
      <c r="H15" s="2" t="s">
        <v>81</v>
      </c>
      <c r="L15" s="2" t="s">
        <v>83</v>
      </c>
      <c r="M15" s="2" t="s">
        <v>84</v>
      </c>
      <c r="N15" s="2" t="s">
        <v>42</v>
      </c>
      <c r="O15" s="3">
        <v>46310.0</v>
      </c>
    </row>
    <row r="16">
      <c r="A16" s="2" t="s">
        <v>93</v>
      </c>
      <c r="B16" s="2" t="s">
        <v>20</v>
      </c>
      <c r="C16" s="2" t="s">
        <v>87</v>
      </c>
      <c r="D16" s="2" t="s">
        <v>52</v>
      </c>
      <c r="G16" s="2" t="s">
        <v>80</v>
      </c>
      <c r="H16" s="2" t="s">
        <v>81</v>
      </c>
      <c r="I16" s="2" t="s">
        <v>94</v>
      </c>
      <c r="L16" s="2" t="s">
        <v>83</v>
      </c>
      <c r="M16" s="2" t="s">
        <v>84</v>
      </c>
      <c r="N16" s="2" t="s">
        <v>95</v>
      </c>
      <c r="O16" s="3">
        <v>46310.0</v>
      </c>
    </row>
    <row r="17">
      <c r="A17" s="2" t="s">
        <v>96</v>
      </c>
      <c r="B17" s="2" t="s">
        <v>20</v>
      </c>
      <c r="C17" s="2" t="s">
        <v>87</v>
      </c>
      <c r="D17" s="2" t="s">
        <v>52</v>
      </c>
      <c r="G17" s="2" t="s">
        <v>80</v>
      </c>
      <c r="H17" s="2" t="s">
        <v>81</v>
      </c>
      <c r="J17" s="2" t="s">
        <v>97</v>
      </c>
      <c r="L17" s="2" t="s">
        <v>83</v>
      </c>
      <c r="M17" s="2" t="s">
        <v>84</v>
      </c>
      <c r="N17" s="2" t="s">
        <v>85</v>
      </c>
      <c r="O17" s="3">
        <v>46310.0</v>
      </c>
    </row>
    <row r="18">
      <c r="A18" s="2" t="s">
        <v>98</v>
      </c>
      <c r="B18" s="2" t="s">
        <v>20</v>
      </c>
      <c r="C18" s="2" t="s">
        <v>87</v>
      </c>
      <c r="D18" s="2" t="s">
        <v>52</v>
      </c>
      <c r="G18" s="2" t="s">
        <v>80</v>
      </c>
      <c r="H18" s="2" t="s">
        <v>81</v>
      </c>
      <c r="L18" s="2" t="s">
        <v>83</v>
      </c>
      <c r="M18" s="2" t="s">
        <v>84</v>
      </c>
      <c r="N18" s="2" t="s">
        <v>50</v>
      </c>
      <c r="O18" s="3">
        <v>46310.0</v>
      </c>
    </row>
    <row r="19">
      <c r="A19" s="2" t="s">
        <v>99</v>
      </c>
      <c r="B19" s="2" t="s">
        <v>20</v>
      </c>
      <c r="C19" s="2" t="s">
        <v>87</v>
      </c>
      <c r="D19" s="2" t="s">
        <v>52</v>
      </c>
      <c r="G19" s="2" t="s">
        <v>80</v>
      </c>
      <c r="H19" s="2" t="s">
        <v>81</v>
      </c>
      <c r="I19" s="2"/>
      <c r="L19" s="2" t="s">
        <v>83</v>
      </c>
      <c r="M19" s="2" t="s">
        <v>84</v>
      </c>
      <c r="N19" s="2" t="s">
        <v>85</v>
      </c>
      <c r="O19" s="3">
        <v>46310.0</v>
      </c>
    </row>
    <row r="20">
      <c r="A20" s="2" t="s">
        <v>100</v>
      </c>
      <c r="B20" s="2" t="s">
        <v>20</v>
      </c>
      <c r="C20" s="2" t="s">
        <v>79</v>
      </c>
      <c r="D20" s="2" t="s">
        <v>101</v>
      </c>
      <c r="G20" s="2" t="s">
        <v>80</v>
      </c>
      <c r="H20" s="2" t="s">
        <v>81</v>
      </c>
      <c r="I20" s="2"/>
      <c r="L20" s="2" t="s">
        <v>83</v>
      </c>
      <c r="M20" s="2" t="s">
        <v>84</v>
      </c>
      <c r="N20" s="2" t="s">
        <v>85</v>
      </c>
      <c r="O20" s="3">
        <v>46310.0</v>
      </c>
    </row>
    <row r="21">
      <c r="A21" s="2" t="s">
        <v>102</v>
      </c>
      <c r="B21" s="2" t="s">
        <v>20</v>
      </c>
      <c r="C21" s="2" t="s">
        <v>79</v>
      </c>
      <c r="D21" s="2" t="s">
        <v>103</v>
      </c>
      <c r="G21" s="2" t="s">
        <v>80</v>
      </c>
      <c r="H21" s="2" t="s">
        <v>81</v>
      </c>
      <c r="I21" s="2"/>
      <c r="L21" s="2" t="s">
        <v>83</v>
      </c>
      <c r="M21" s="2" t="s">
        <v>84</v>
      </c>
      <c r="N21" s="2" t="s">
        <v>85</v>
      </c>
      <c r="O21" s="3">
        <v>46310.0</v>
      </c>
    </row>
    <row r="22">
      <c r="A22" s="2" t="s">
        <v>104</v>
      </c>
      <c r="B22" s="2" t="s">
        <v>20</v>
      </c>
      <c r="C22" s="2" t="s">
        <v>79</v>
      </c>
      <c r="D22" s="2" t="s">
        <v>105</v>
      </c>
      <c r="G22" s="2" t="s">
        <v>80</v>
      </c>
      <c r="H22" s="2" t="s">
        <v>81</v>
      </c>
      <c r="I22" s="2"/>
      <c r="J22" s="2" t="s">
        <v>106</v>
      </c>
      <c r="L22" s="2" t="s">
        <v>83</v>
      </c>
      <c r="M22" s="2" t="s">
        <v>84</v>
      </c>
      <c r="N22" s="2" t="s">
        <v>107</v>
      </c>
      <c r="O22" s="3">
        <v>46310.0</v>
      </c>
    </row>
    <row r="23">
      <c r="A23" s="2" t="s">
        <v>108</v>
      </c>
      <c r="B23" s="2" t="s">
        <v>109</v>
      </c>
      <c r="C23" s="2" t="s">
        <v>110</v>
      </c>
      <c r="D23" s="2" t="s">
        <v>52</v>
      </c>
      <c r="G23" s="2" t="s">
        <v>111</v>
      </c>
      <c r="H23" s="2" t="s">
        <v>112</v>
      </c>
      <c r="I23" s="2" t="s">
        <v>113</v>
      </c>
      <c r="L23" s="2" t="s">
        <v>83</v>
      </c>
      <c r="M23" s="2" t="s">
        <v>114</v>
      </c>
      <c r="N23" s="2" t="s">
        <v>115</v>
      </c>
      <c r="O23" s="3">
        <v>46290.0</v>
      </c>
    </row>
    <row r="24">
      <c r="A24" s="2" t="s">
        <v>116</v>
      </c>
      <c r="B24" s="2" t="s">
        <v>20</v>
      </c>
      <c r="C24" s="2">
        <f>5000*3*12</f>
        <v>180000</v>
      </c>
      <c r="D24" s="2" t="s">
        <v>52</v>
      </c>
      <c r="E24" s="4">
        <f>50000*2.5*12+1000*1000</f>
        <v>2500000</v>
      </c>
      <c r="F24" s="2" t="s">
        <v>53</v>
      </c>
      <c r="G24" s="2" t="s">
        <v>117</v>
      </c>
      <c r="H24" s="2" t="s">
        <v>118</v>
      </c>
      <c r="I24" s="2" t="s">
        <v>116</v>
      </c>
      <c r="M24" s="2" t="s">
        <v>118</v>
      </c>
      <c r="N24" s="2" t="s">
        <v>119</v>
      </c>
      <c r="O24" s="3">
        <v>46287.0</v>
      </c>
    </row>
    <row r="25">
      <c r="A25" s="2" t="s">
        <v>120</v>
      </c>
      <c r="B25" s="2" t="s">
        <v>20</v>
      </c>
      <c r="C25" s="2">
        <f t="shared" ref="C25:C26" si="1">5000*4*12</f>
        <v>240000</v>
      </c>
      <c r="D25" s="2" t="s">
        <v>52</v>
      </c>
      <c r="E25" s="4">
        <f>16000*8*24+1000*1500</f>
        <v>4572000</v>
      </c>
      <c r="F25" s="2" t="s">
        <v>53</v>
      </c>
      <c r="G25" s="2" t="s">
        <v>121</v>
      </c>
      <c r="H25" s="2" t="s">
        <v>122</v>
      </c>
      <c r="I25" s="2" t="s">
        <v>123</v>
      </c>
      <c r="J25" s="2" t="s">
        <v>48</v>
      </c>
      <c r="K25" s="2" t="s">
        <v>43</v>
      </c>
      <c r="M25" s="2" t="s">
        <v>124</v>
      </c>
      <c r="N25" s="2" t="s">
        <v>50</v>
      </c>
      <c r="O25" s="3">
        <v>46290.0</v>
      </c>
    </row>
    <row r="26">
      <c r="A26" s="2" t="s">
        <v>125</v>
      </c>
      <c r="B26" s="2" t="s">
        <v>20</v>
      </c>
      <c r="C26" s="2">
        <f t="shared" si="1"/>
        <v>240000</v>
      </c>
      <c r="D26" s="2" t="s">
        <v>52</v>
      </c>
      <c r="E26" s="4">
        <f>15000*8*24+1000*1500</f>
        <v>4380000</v>
      </c>
      <c r="F26" s="2" t="s">
        <v>53</v>
      </c>
      <c r="G26" s="2" t="s">
        <v>121</v>
      </c>
      <c r="H26" s="2" t="s">
        <v>122</v>
      </c>
      <c r="I26" s="2" t="s">
        <v>126</v>
      </c>
      <c r="J26" s="2" t="s">
        <v>127</v>
      </c>
      <c r="L26" s="2" t="s">
        <v>29</v>
      </c>
      <c r="M26" s="2" t="s">
        <v>128</v>
      </c>
      <c r="N26" s="2" t="s">
        <v>127</v>
      </c>
      <c r="O26" s="3">
        <v>46290.0</v>
      </c>
    </row>
    <row r="27">
      <c r="A27" s="2" t="s">
        <v>129</v>
      </c>
      <c r="B27" s="2" t="s">
        <v>44</v>
      </c>
      <c r="C27" s="2">
        <v>100000.0</v>
      </c>
      <c r="D27" s="2" t="s">
        <v>130</v>
      </c>
      <c r="E27" s="2" t="s">
        <v>131</v>
      </c>
      <c r="F27" s="2" t="s">
        <v>52</v>
      </c>
      <c r="G27" s="2" t="s">
        <v>132</v>
      </c>
      <c r="H27" s="2" t="s">
        <v>133</v>
      </c>
      <c r="J27" s="2" t="s">
        <v>134</v>
      </c>
      <c r="L27" s="2" t="s">
        <v>135</v>
      </c>
      <c r="M27" s="2" t="s">
        <v>136</v>
      </c>
      <c r="N27" s="2" t="s">
        <v>50</v>
      </c>
      <c r="O27" s="3">
        <v>46290.0</v>
      </c>
    </row>
    <row r="28">
      <c r="A28" s="2" t="s">
        <v>137</v>
      </c>
      <c r="B28" s="2" t="s">
        <v>20</v>
      </c>
      <c r="C28" s="2" t="s">
        <v>138</v>
      </c>
      <c r="D28" s="2" t="s">
        <v>22</v>
      </c>
      <c r="E28" s="2" t="s">
        <v>139</v>
      </c>
      <c r="F28" s="2" t="s">
        <v>53</v>
      </c>
      <c r="G28" s="2" t="s">
        <v>140</v>
      </c>
      <c r="H28" s="2" t="s">
        <v>122</v>
      </c>
      <c r="J28" s="2" t="s">
        <v>134</v>
      </c>
      <c r="L28" s="2" t="s">
        <v>141</v>
      </c>
      <c r="M28" s="2" t="s">
        <v>142</v>
      </c>
      <c r="N28" s="2" t="s">
        <v>50</v>
      </c>
      <c r="O28" s="3">
        <v>46310.0</v>
      </c>
    </row>
    <row r="29">
      <c r="A29" s="2" t="s">
        <v>143</v>
      </c>
      <c r="B29" s="2" t="s">
        <v>20</v>
      </c>
      <c r="C29" s="2" t="s">
        <v>138</v>
      </c>
      <c r="D29" s="2" t="s">
        <v>22</v>
      </c>
      <c r="E29" s="2" t="s">
        <v>139</v>
      </c>
      <c r="F29" s="2" t="s">
        <v>53</v>
      </c>
      <c r="G29" s="2" t="s">
        <v>140</v>
      </c>
      <c r="H29" s="2" t="s">
        <v>122</v>
      </c>
      <c r="J29" s="2" t="s">
        <v>134</v>
      </c>
      <c r="L29" s="2" t="s">
        <v>141</v>
      </c>
      <c r="M29" s="2" t="s">
        <v>142</v>
      </c>
      <c r="N29" s="2" t="s">
        <v>50</v>
      </c>
      <c r="O29" s="3">
        <v>46310.0</v>
      </c>
    </row>
    <row r="30">
      <c r="A30" s="2" t="s">
        <v>144</v>
      </c>
      <c r="B30" s="2" t="s">
        <v>20</v>
      </c>
      <c r="C30" s="2">
        <f>5000*8*12</f>
        <v>480000</v>
      </c>
      <c r="D30" s="2" t="s">
        <v>52</v>
      </c>
      <c r="E30" s="4">
        <f>20000*8*24+1000*1500</f>
        <v>5340000</v>
      </c>
      <c r="F30" s="2" t="s">
        <v>53</v>
      </c>
      <c r="G30" s="2" t="s">
        <v>117</v>
      </c>
      <c r="H30" s="2" t="s">
        <v>122</v>
      </c>
      <c r="J30" s="2" t="s">
        <v>145</v>
      </c>
      <c r="M30" s="2" t="s">
        <v>146</v>
      </c>
      <c r="N30" s="2" t="s">
        <v>50</v>
      </c>
      <c r="O30" s="3">
        <v>46316.0</v>
      </c>
    </row>
    <row r="31">
      <c r="A31" s="2" t="s">
        <v>147</v>
      </c>
      <c r="B31" s="2" t="s">
        <v>20</v>
      </c>
      <c r="C31" s="2">
        <f>1000*5*12</f>
        <v>60000</v>
      </c>
      <c r="D31" s="2" t="s">
        <v>52</v>
      </c>
      <c r="E31" s="4">
        <f>1000*8*24+100*1500</f>
        <v>342000</v>
      </c>
      <c r="F31" s="2" t="s">
        <v>53</v>
      </c>
      <c r="G31" s="2" t="s">
        <v>148</v>
      </c>
      <c r="H31" s="2" t="s">
        <v>149</v>
      </c>
      <c r="J31" s="2" t="s">
        <v>150</v>
      </c>
      <c r="M31" s="2" t="s">
        <v>122</v>
      </c>
      <c r="N31" s="2" t="s">
        <v>50</v>
      </c>
      <c r="O31" s="3">
        <v>46310.0</v>
      </c>
    </row>
    <row r="32">
      <c r="A32" s="2" t="s">
        <v>151</v>
      </c>
      <c r="B32" s="2" t="s">
        <v>109</v>
      </c>
      <c r="C32" s="2" t="s">
        <v>152</v>
      </c>
      <c r="D32" s="2" t="s">
        <v>52</v>
      </c>
      <c r="E32" s="2" t="s">
        <v>152</v>
      </c>
      <c r="F32" s="2" t="s">
        <v>52</v>
      </c>
      <c r="G32" s="2" t="s">
        <v>153</v>
      </c>
      <c r="H32" s="2" t="s">
        <v>154</v>
      </c>
      <c r="J32" s="2" t="s">
        <v>155</v>
      </c>
      <c r="L32" s="2" t="s">
        <v>156</v>
      </c>
      <c r="M32" s="2" t="s">
        <v>157</v>
      </c>
      <c r="N32" s="2" t="s">
        <v>50</v>
      </c>
      <c r="O32" s="3">
        <v>46341.0</v>
      </c>
    </row>
    <row r="33">
      <c r="A33" s="2" t="s">
        <v>158</v>
      </c>
      <c r="B33" s="2" t="s">
        <v>20</v>
      </c>
      <c r="C33" s="2">
        <f>30000*50</f>
        <v>1500000</v>
      </c>
      <c r="D33" s="2" t="s">
        <v>52</v>
      </c>
      <c r="E33" s="4">
        <f>30000*50*2+1000000</f>
        <v>4000000</v>
      </c>
      <c r="F33" s="2" t="s">
        <v>53</v>
      </c>
      <c r="G33" s="2" t="s">
        <v>159</v>
      </c>
      <c r="H33" s="2" t="s">
        <v>160</v>
      </c>
      <c r="J33" s="2" t="s">
        <v>161</v>
      </c>
      <c r="L33" s="2" t="s">
        <v>162</v>
      </c>
      <c r="M33" s="2" t="s">
        <v>146</v>
      </c>
      <c r="N33" s="2" t="s">
        <v>85</v>
      </c>
      <c r="O33" s="3">
        <v>46295.0</v>
      </c>
    </row>
    <row r="34">
      <c r="A34" s="2" t="s">
        <v>163</v>
      </c>
      <c r="B34" s="2" t="s">
        <v>164</v>
      </c>
      <c r="C34" s="2" t="s">
        <v>165</v>
      </c>
      <c r="D34" s="2" t="s">
        <v>34</v>
      </c>
      <c r="E34" s="2" t="s">
        <v>166</v>
      </c>
      <c r="F34" s="2" t="s">
        <v>22</v>
      </c>
      <c r="G34" s="2" t="s">
        <v>167</v>
      </c>
      <c r="H34" s="2" t="s">
        <v>168</v>
      </c>
      <c r="I34" s="2" t="s">
        <v>169</v>
      </c>
      <c r="J34" s="2" t="s">
        <v>170</v>
      </c>
      <c r="L34" s="2"/>
      <c r="M34" s="2" t="s">
        <v>171</v>
      </c>
      <c r="N34" s="2" t="s">
        <v>172</v>
      </c>
      <c r="O34" s="3">
        <v>46290.0</v>
      </c>
    </row>
    <row r="35">
      <c r="A35" s="2" t="s">
        <v>173</v>
      </c>
      <c r="B35" s="2" t="s">
        <v>20</v>
      </c>
      <c r="C35" s="2" t="s">
        <v>45</v>
      </c>
      <c r="D35" s="2" t="s">
        <v>52</v>
      </c>
      <c r="E35" s="2" t="s">
        <v>45</v>
      </c>
      <c r="F35" s="2" t="s">
        <v>53</v>
      </c>
      <c r="G35" s="2" t="s">
        <v>174</v>
      </c>
      <c r="H35" s="2" t="s">
        <v>160</v>
      </c>
      <c r="J35" s="2" t="s">
        <v>88</v>
      </c>
      <c r="L35" s="2" t="s">
        <v>162</v>
      </c>
      <c r="M35" s="2" t="s">
        <v>175</v>
      </c>
      <c r="N35" s="2" t="s">
        <v>85</v>
      </c>
      <c r="O35" s="3">
        <v>46295.0</v>
      </c>
    </row>
    <row r="36">
      <c r="A36" s="2" t="s">
        <v>176</v>
      </c>
      <c r="B36" s="2" t="s">
        <v>20</v>
      </c>
      <c r="C36" s="2">
        <f>350000*10</f>
        <v>3500000</v>
      </c>
      <c r="D36" s="2" t="s">
        <v>52</v>
      </c>
      <c r="E36" s="2">
        <f>350000*10*2</f>
        <v>7000000</v>
      </c>
      <c r="F36" s="2" t="s">
        <v>53</v>
      </c>
      <c r="G36" s="2" t="s">
        <v>159</v>
      </c>
      <c r="H36" s="2" t="s">
        <v>160</v>
      </c>
      <c r="J36" s="2" t="s">
        <v>88</v>
      </c>
      <c r="L36" s="2" t="s">
        <v>162</v>
      </c>
      <c r="M36" s="2" t="s">
        <v>175</v>
      </c>
      <c r="N36" s="2" t="s">
        <v>85</v>
      </c>
      <c r="O36" s="3">
        <v>46295.0</v>
      </c>
    </row>
    <row r="37">
      <c r="A37" s="2" t="s">
        <v>177</v>
      </c>
      <c r="B37" s="2" t="s">
        <v>20</v>
      </c>
      <c r="C37" s="2" t="s">
        <v>45</v>
      </c>
      <c r="D37" s="2" t="s">
        <v>52</v>
      </c>
      <c r="E37" s="2" t="s">
        <v>45</v>
      </c>
      <c r="F37" s="2" t="s">
        <v>53</v>
      </c>
      <c r="G37" s="2" t="s">
        <v>178</v>
      </c>
      <c r="H37" s="2" t="s">
        <v>179</v>
      </c>
      <c r="J37" s="2" t="s">
        <v>42</v>
      </c>
      <c r="L37" s="2" t="s">
        <v>162</v>
      </c>
      <c r="M37" s="2" t="s">
        <v>180</v>
      </c>
      <c r="N37" s="2" t="s">
        <v>50</v>
      </c>
      <c r="O37" s="5">
        <v>46288.0</v>
      </c>
    </row>
    <row r="38">
      <c r="A38" s="2" t="s">
        <v>181</v>
      </c>
      <c r="B38" s="2" t="s">
        <v>20</v>
      </c>
      <c r="C38" s="2">
        <f>3000000*10</f>
        <v>30000000</v>
      </c>
      <c r="D38" s="2" t="s">
        <v>52</v>
      </c>
      <c r="E38" s="2">
        <f>3000000*10*2</f>
        <v>60000000</v>
      </c>
      <c r="F38" s="2" t="s">
        <v>53</v>
      </c>
      <c r="G38" s="2" t="s">
        <v>159</v>
      </c>
      <c r="H38" s="2" t="s">
        <v>182</v>
      </c>
      <c r="J38" s="2" t="s">
        <v>183</v>
      </c>
      <c r="L38" s="2" t="s">
        <v>162</v>
      </c>
      <c r="M38" s="2" t="s">
        <v>122</v>
      </c>
      <c r="N38" s="2" t="s">
        <v>184</v>
      </c>
      <c r="O38" s="3">
        <v>46295.0</v>
      </c>
    </row>
    <row r="39">
      <c r="A39" s="2" t="s">
        <v>185</v>
      </c>
      <c r="B39" s="2" t="s">
        <v>20</v>
      </c>
      <c r="C39" s="2">
        <f>5000*8*12</f>
        <v>480000</v>
      </c>
      <c r="D39" s="2" t="s">
        <v>52</v>
      </c>
      <c r="E39" s="4">
        <f>100000*8*24+3000*1500</f>
        <v>23700000</v>
      </c>
      <c r="F39" s="2" t="s">
        <v>53</v>
      </c>
      <c r="G39" s="2" t="s">
        <v>117</v>
      </c>
      <c r="H39" s="2" t="s">
        <v>149</v>
      </c>
      <c r="J39" s="2" t="s">
        <v>183</v>
      </c>
      <c r="L39" s="2" t="s">
        <v>162</v>
      </c>
      <c r="M39" s="2" t="s">
        <v>122</v>
      </c>
      <c r="N39" s="2" t="s">
        <v>184</v>
      </c>
      <c r="O39" s="3">
        <v>46310.0</v>
      </c>
    </row>
    <row r="40">
      <c r="A40" s="2" t="s">
        <v>186</v>
      </c>
      <c r="B40" s="2" t="s">
        <v>20</v>
      </c>
      <c r="C40" s="2">
        <f>500*8*12</f>
        <v>48000</v>
      </c>
      <c r="D40" s="2" t="s">
        <v>52</v>
      </c>
      <c r="E40" s="4">
        <f>2000*8*24+100*1500</f>
        <v>534000</v>
      </c>
      <c r="F40" s="2" t="s">
        <v>53</v>
      </c>
      <c r="G40" s="2" t="s">
        <v>148</v>
      </c>
      <c r="H40" s="2" t="s">
        <v>149</v>
      </c>
      <c r="J40" s="2" t="s">
        <v>42</v>
      </c>
      <c r="M40" s="2" t="s">
        <v>122</v>
      </c>
      <c r="N40" s="2" t="s">
        <v>42</v>
      </c>
      <c r="O40" s="3">
        <v>46295.0</v>
      </c>
    </row>
    <row r="41">
      <c r="A41" s="2" t="s">
        <v>187</v>
      </c>
      <c r="B41" s="2" t="s">
        <v>188</v>
      </c>
      <c r="C41" s="2">
        <v>899999.0</v>
      </c>
      <c r="D41" s="2" t="s">
        <v>52</v>
      </c>
      <c r="E41" s="4" t="s">
        <v>139</v>
      </c>
      <c r="F41" s="2" t="s">
        <v>53</v>
      </c>
      <c r="G41" s="2" t="s">
        <v>189</v>
      </c>
      <c r="H41" s="2" t="s">
        <v>190</v>
      </c>
      <c r="J41" s="2" t="s">
        <v>97</v>
      </c>
      <c r="M41" s="2" t="s">
        <v>191</v>
      </c>
      <c r="N41" s="2" t="s">
        <v>50</v>
      </c>
      <c r="O41" s="3">
        <v>46289.0</v>
      </c>
    </row>
    <row r="42">
      <c r="A42" s="6" t="s">
        <v>192</v>
      </c>
      <c r="B42" s="2" t="s">
        <v>193</v>
      </c>
      <c r="C42" s="2" t="s">
        <v>131</v>
      </c>
      <c r="D42" s="2" t="s">
        <v>52</v>
      </c>
      <c r="E42" s="4" t="s">
        <v>194</v>
      </c>
      <c r="F42" s="2" t="s">
        <v>53</v>
      </c>
      <c r="G42" s="2" t="s">
        <v>195</v>
      </c>
      <c r="H42" s="2" t="s">
        <v>196</v>
      </c>
      <c r="J42" s="2" t="s">
        <v>95</v>
      </c>
      <c r="M42" s="2" t="s">
        <v>197</v>
      </c>
      <c r="N42" s="2" t="s">
        <v>95</v>
      </c>
      <c r="O42" s="3">
        <v>46295.0</v>
      </c>
    </row>
    <row r="43">
      <c r="A43" s="2" t="s">
        <v>198</v>
      </c>
      <c r="B43" s="2" t="s">
        <v>20</v>
      </c>
      <c r="C43" s="2">
        <f>60*8*12</f>
        <v>5760</v>
      </c>
      <c r="D43" s="2" t="s">
        <v>52</v>
      </c>
      <c r="E43" s="2">
        <f>60*8*12*2+5*500</f>
        <v>14020</v>
      </c>
      <c r="F43" s="2" t="s">
        <v>53</v>
      </c>
      <c r="G43" s="2" t="s">
        <v>199</v>
      </c>
      <c r="H43" s="2" t="s">
        <v>200</v>
      </c>
      <c r="J43" s="2" t="s">
        <v>201</v>
      </c>
      <c r="M43" s="2" t="s">
        <v>202</v>
      </c>
      <c r="N43" s="2" t="s">
        <v>50</v>
      </c>
      <c r="O43" s="3">
        <v>46310.0</v>
      </c>
    </row>
    <row r="44">
      <c r="A44" s="2" t="s">
        <v>203</v>
      </c>
      <c r="B44" s="2" t="s">
        <v>20</v>
      </c>
      <c r="C44" s="2">
        <f>30*8*12</f>
        <v>2880</v>
      </c>
      <c r="D44" s="2" t="s">
        <v>52</v>
      </c>
      <c r="E44" s="2">
        <f>30*8*12*2+5*500</f>
        <v>8260</v>
      </c>
      <c r="F44" s="2" t="s">
        <v>53</v>
      </c>
      <c r="G44" s="2" t="s">
        <v>199</v>
      </c>
      <c r="H44" s="2" t="s">
        <v>200</v>
      </c>
      <c r="J44" s="2" t="s">
        <v>204</v>
      </c>
      <c r="M44" s="2" t="s">
        <v>202</v>
      </c>
      <c r="N44" s="2" t="s">
        <v>50</v>
      </c>
      <c r="O44" s="3">
        <v>46310.0</v>
      </c>
    </row>
    <row r="45">
      <c r="A45" s="2" t="s">
        <v>205</v>
      </c>
      <c r="B45" s="2" t="s">
        <v>20</v>
      </c>
      <c r="C45" s="2" t="s">
        <v>45</v>
      </c>
      <c r="D45" s="2" t="s">
        <v>52</v>
      </c>
      <c r="E45" s="2" t="s">
        <v>45</v>
      </c>
      <c r="F45" s="2" t="s">
        <v>53</v>
      </c>
      <c r="G45" s="2" t="s">
        <v>140</v>
      </c>
      <c r="H45" s="2" t="s">
        <v>149</v>
      </c>
      <c r="J45" s="2" t="s">
        <v>42</v>
      </c>
      <c r="L45" s="2" t="s">
        <v>162</v>
      </c>
      <c r="M45" s="2" t="s">
        <v>122</v>
      </c>
      <c r="N45" s="2" t="s">
        <v>206</v>
      </c>
      <c r="O45" s="3">
        <v>46295.0</v>
      </c>
    </row>
    <row r="46">
      <c r="A46" s="2" t="s">
        <v>207</v>
      </c>
      <c r="B46" s="2" t="s">
        <v>20</v>
      </c>
      <c r="C46" s="2" t="s">
        <v>45</v>
      </c>
      <c r="D46" s="2" t="s">
        <v>52</v>
      </c>
      <c r="E46" s="2" t="s">
        <v>45</v>
      </c>
      <c r="F46" s="2" t="s">
        <v>53</v>
      </c>
      <c r="G46" s="2" t="s">
        <v>140</v>
      </c>
      <c r="H46" s="2" t="s">
        <v>149</v>
      </c>
      <c r="J46" s="2" t="s">
        <v>95</v>
      </c>
      <c r="L46" s="2" t="s">
        <v>162</v>
      </c>
      <c r="M46" s="2" t="s">
        <v>122</v>
      </c>
      <c r="N46" s="2" t="s">
        <v>206</v>
      </c>
      <c r="O46" s="3">
        <v>46295.0</v>
      </c>
    </row>
    <row r="47">
      <c r="A47" s="2" t="s">
        <v>208</v>
      </c>
      <c r="B47" s="2" t="s">
        <v>188</v>
      </c>
      <c r="C47" s="2" t="s">
        <v>45</v>
      </c>
      <c r="D47" s="2" t="s">
        <v>52</v>
      </c>
      <c r="E47" s="2" t="s">
        <v>45</v>
      </c>
      <c r="F47" s="2" t="s">
        <v>53</v>
      </c>
      <c r="G47" s="2" t="s">
        <v>140</v>
      </c>
      <c r="H47" s="2" t="s">
        <v>149</v>
      </c>
      <c r="J47" s="2" t="s">
        <v>42</v>
      </c>
      <c r="L47" s="2" t="s">
        <v>162</v>
      </c>
      <c r="M47" s="2" t="s">
        <v>122</v>
      </c>
      <c r="N47" s="2" t="s">
        <v>206</v>
      </c>
      <c r="O47" s="3">
        <v>46295.0</v>
      </c>
    </row>
    <row r="48">
      <c r="A48" s="2" t="s">
        <v>209</v>
      </c>
      <c r="B48" s="2" t="s">
        <v>20</v>
      </c>
      <c r="C48" s="2" t="s">
        <v>45</v>
      </c>
      <c r="D48" s="2" t="s">
        <v>52</v>
      </c>
      <c r="E48" s="2" t="s">
        <v>45</v>
      </c>
      <c r="F48" s="2" t="s">
        <v>53</v>
      </c>
      <c r="G48" s="2" t="s">
        <v>140</v>
      </c>
      <c r="H48" s="2" t="s">
        <v>149</v>
      </c>
      <c r="J48" s="2" t="s">
        <v>42</v>
      </c>
      <c r="L48" s="2" t="s">
        <v>162</v>
      </c>
      <c r="M48" s="2" t="s">
        <v>122</v>
      </c>
      <c r="N48" s="2" t="s">
        <v>206</v>
      </c>
      <c r="O48" s="3">
        <v>46295.0</v>
      </c>
    </row>
  </sheetData>
  <drawing r:id="rId1"/>
</worksheet>
</file>